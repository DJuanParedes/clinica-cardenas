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b7ffd4c7754c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151d55b553b54b59"/>
    <x:sheet xmlns:r="http://schemas.openxmlformats.org/officeDocument/2006/relationships" name="Historias" sheetId="2" r:id="Re6df8acf7a9c4c58"/>
    <x:sheet xmlns:r="http://schemas.openxmlformats.org/officeDocument/2006/relationships" name="Criterios" sheetId="3" r:id="R273b3fd330744629"/>
    <x:sheet xmlns:r="http://schemas.openxmlformats.org/officeDocument/2006/relationships" name="DoR DoD" sheetId="4" r:id="Rb588235d690a4a23"/>
    <x:sheet xmlns:r="http://schemas.openxmlformats.org/officeDocument/2006/relationships" name="Sprint Backlog" sheetId="5" r:id="Rac707f985d86451b"/>
    <x:sheet xmlns:r="http://schemas.openxmlformats.org/officeDocument/2006/relationships" name="Eventos" sheetId="6" r:id="R84101a3134c24741"/>
    <x:sheet xmlns:r="http://schemas.openxmlformats.org/officeDocument/2006/relationships" name="Capacidad" sheetId="7" r:id="Rfb1e05b34b6f4b0a"/>
    <x:sheet xmlns:r="http://schemas.openxmlformats.org/officeDocument/2006/relationships" name="Hallazgos" sheetId="8" r:id="Ra6ac845592584c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dd/mm/yyyy"/>
    <x:numFmt numFmtId="202" formatCode="0.0"/>
  </x:numFmts>
  <x:fonts count="4">
    <x:font>
      <x:sz val="11"/>
      <x:name val="Carlito"/>
    </x:font>
    <x:font>
      <x:sz val="10"/>
      <x:color rgb="FF172B40"/>
      <x:name val="Arial"/>
    </x:font>
    <x:font>
      <x:b/>
      <x:sz val="15"/>
      <x:color rgb="FF172B4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F5B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202" fontId="1" fillId="3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"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55b6bbdcd148f8" /><Relationship Type="http://schemas.openxmlformats.org/officeDocument/2006/relationships/theme" Target="/xl/theme/theme1.xml" Id="Ra501d10932034543" /><Relationship Type="http://schemas.openxmlformats.org/officeDocument/2006/relationships/sharedStrings" Target="/xl/sharedStrings.xml" Id="R2c6a3b4e18ab4f18" /><Relationship Type="http://schemas.openxmlformats.org/officeDocument/2006/relationships/worksheet" Target="/xl/worksheets/sheet1.xml" Id="R151d55b553b54b59" /><Relationship Type="http://schemas.openxmlformats.org/officeDocument/2006/relationships/worksheet" Target="/xl/worksheets/sheet2.xml" Id="Re6df8acf7a9c4c58" /><Relationship Type="http://schemas.openxmlformats.org/officeDocument/2006/relationships/worksheet" Target="/xl/worksheets/sheet3.xml" Id="R273b3fd330744629" /><Relationship Type="http://schemas.openxmlformats.org/officeDocument/2006/relationships/worksheet" Target="/xl/worksheets/sheet4.xml" Id="Rb588235d690a4a23" /><Relationship Type="http://schemas.openxmlformats.org/officeDocument/2006/relationships/worksheet" Target="/xl/worksheets/sheet5.xml" Id="Rac707f985d86451b" /><Relationship Type="http://schemas.openxmlformats.org/officeDocument/2006/relationships/worksheet" Target="/xl/worksheets/sheet6.xml" Id="R84101a3134c24741" /><Relationship Type="http://schemas.openxmlformats.org/officeDocument/2006/relationships/worksheet" Target="/xl/worksheets/sheet7.xml" Id="Rfb1e05b34b6f4b0a" /><Relationship Type="http://schemas.openxmlformats.org/officeDocument/2006/relationships/worksheet" Target="/xl/worksheets/sheet8.xml" Id="Ra6ac845592584c35" /></Relationships>
</file>

<file path=xl/tables/table1.xml><?xml version="1.0" encoding="utf-8"?>
<x:table xmlns:x="http://schemas.openxmlformats.org/spreadsheetml/2006/main" id="1" name="ResumenTabla" displayName="ResumenTabla" ref="A4:C16" headerRowCount="1" totalsRowCount="0" totalsRowShown="0">
  <x:tableColumns count="3">
    <x:tableColumn id="1" name="Concepto"/>
    <x:tableColumn id="2" name="Valor"/>
    <x:tableColumn id="3" name="Condició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istoriasTabla" displayName="HistoriasTabla" ref="A4:H7" headerRowCount="1" totalsRowCount="0" totalsRowShown="0">
  <x:tableColumns count="8">
    <x:tableColumn id="1" name="ID"/>
    <x:tableColumn id="2" name="Historia y valor"/>
    <x:tableColumn id="3" name="Prioridad"/>
    <x:tableColumn id="4" name="SP inicial"/>
    <x:tableColumn id="5" name="SP propuesto"/>
    <x:tableColumn id="6" name="SP acordado"/>
    <x:tableColumn id="7" name="Justificación"/>
    <x:tableColumn id="8" name="Acta de consens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riteriosTabla" displayName="CriteriosTabla" ref="A4:G18" headerRowCount="1" totalsRowCount="0" totalsRowShown="0">
  <x:tableColumns count="7">
    <x:tableColumn id="1" name="Criterio"/>
    <x:tableColumn id="2" name="HU"/>
    <x:tableColumn id="3" name="Escenario y resultado esperado"/>
    <x:tableColumn id="4" name="Resultado real"/>
    <x:tableColumn id="5" name="Evidencia"/>
    <x:tableColumn id="6" name="Fecha real"/>
    <x:tableColumn id="7" name="Ejecuto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oRDoDTabla" displayName="DoRDoDTabla" ref="A4:E12" headerRowCount="1" totalsRowCount="0" totalsRowShown="0">
  <x:tableColumns count="5">
    <x:tableColumn id="1" name="HU"/>
    <x:tableColumn id="2" name="Tipo"/>
    <x:tableColumn id="3" name="Condiciones"/>
    <x:tableColumn id="4" name="Verificación real"/>
    <x:tableColumn id="5" name="Evidenci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printBacklogTabla" displayName="SprintBacklogTabla" ref="A4:J16" headerRowCount="1" totalsRowCount="0" totalsRowShown="0">
  <x:tableColumns count="10">
    <x:tableColumn id="1" name="Tarea"/>
    <x:tableColumn id="2" name="HU"/>
    <x:tableColumn id="3" name="Trabajo"/>
    <x:tableColumn id="4" name="Rol sugerido"/>
    <x:tableColumn id="5" name="Salida verificable"/>
    <x:tableColumn id="6" name="Dependencia"/>
    <x:tableColumn id="7" name="Persona asignada"/>
    <x:tableColumn id="8" name="Horas estimadas"/>
    <x:tableColumn id="9" name="Estado real"/>
    <x:tableColumn id="10" name="Evidencia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ventosTabla" displayName="EventosTabla" ref="A4:H10" headerRowCount="1" totalsRowCount="0" totalsRowShown="0">
  <x:tableColumns count="8">
    <x:tableColumn id="1" name="Evento"/>
    <x:tableColumn id="2" name="Tipo de registro"/>
    <x:tableColumn id="3" name="Guía"/>
    <x:tableColumn id="4" name="Fecha real"/>
    <x:tableColumn id="5" name="Asistentes"/>
    <x:tableColumn id="6" name="Hallazgo o progreso real"/>
    <x:tableColumn id="7" name="Acuerdo y responsable"/>
    <x:tableColumn id="8" name="Enlace de evidencia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apacidadTabla" displayName="CapacidadTabla" ref="A4:F9" headerRowCount="1" totalsRowCount="0" totalsRowShown="0">
  <x:tableColumns count="6">
    <x:tableColumn id="1" name="Persona según Charter"/>
    <x:tableColumn id="2" name="Días disponibles"/>
    <x:tableColumn id="3" name="Horas por día"/>
    <x:tableColumn id="4" name="Ausencias en horas"/>
    <x:tableColumn id="5" name="Capacidad en horas"/>
    <x:tableColumn id="6" name="Confirmació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HallazgosTabla" displayName="HallazgosTabla" ref="A4:E14" headerRowCount="1" totalsRowCount="0" totalsRowShown="0">
  <x:tableColumns count="5">
    <x:tableColumn id="1" name="Tema"/>
    <x:tableColumn id="2" name="Fuente"/>
    <x:tableColumn id="3" name="Hallazgo"/>
    <x:tableColumn id="4" name="Acción propuesta"/>
    <x:tableColumn id="5" name="Decisión re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4a530dd30224c7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eaf3b077ba940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b3771a8de3140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2e29c506fdf4fb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d144ba0b56c4ad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08ceee340ca4de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3018130ae0a42b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8abbd55cd95429c" /></Relationships>
</file>

<file path=xl/worksheets/sheet1.xml><?xml version="1.0" encoding="utf-8"?>
<x:worksheet xmlns:x="http://schemas.openxmlformats.org/spreadsheetml/2006/main">
  <x:sheetPr>
    <x:tabColor rgb="FF233F5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75" hidden="0" customWidth="1"/>
    <x:col min="3" max="3" width="60" hidden="0" customWidth="1"/>
  </x:cols>
  <x:sheetData>
    <x:row r="2">
      <x:c r="A2" s="2" t="str">
        <x:v>Sprint 1 de Clínica Dental Cárdenas</x:v>
      </x:c>
      <x:c r="B2" s="1"/>
      <x:c r="C2" s="1"/>
    </x:row>
    <x:row r="3">
      <x:c r="A3" s="1"/>
      <x:c r="B3" s="1"/>
      <x:c r="C3" s="1"/>
    </x:row>
    <x:row r="4" ht="32" customHeight="1">
      <x:c r="A4" s="5" t="str">
        <x:v>Concepto</x:v>
      </x:c>
      <x:c r="B4" s="5" t="str">
        <x:v>Valor</x:v>
      </x:c>
      <x:c r="C4" s="5" t="str">
        <x:v>Condición</x:v>
      </x:c>
    </x:row>
    <x:row r="5" ht="32" customHeight="1">
      <x:c r="A5" s="7" t="str">
        <x:v>Puntos iniciales</x:v>
      </x:c>
      <x:c r="B5" s="14" t="n">
        <x:f>SUM(Historias!D5:D7)</x:f>
        <x:v>18</x:v>
      </x:c>
      <x:c r="C5" s="7" t="str">
        <x:v>8 + 5 + 5 del planteamiento inicial</x:v>
      </x:c>
    </x:row>
    <x:row r="6" ht="32" customHeight="1">
      <x:c r="A6" s="7" t="str">
        <x:v>Puntos propuestos</x:v>
      </x:c>
      <x:c r="B6" s="14" t="n">
        <x:f>SUM(Historias!E5:E7)</x:f>
        <x:v>21</x:v>
      </x:c>
      <x:c r="C6" s="7" t="str">
        <x:v>8 + 5 + 8 pendientes de consenso</x:v>
      </x:c>
    </x:row>
    <x:row r="7" ht="32" customHeight="1">
      <x:c r="A7" s="7" t="str">
        <x:v>Diferencia</x:v>
      </x:c>
      <x:c r="B7" s="14" t="n">
        <x:f>B6-B5</x:f>
        <x:v>3</x:v>
      </x:c>
      <x:c r="C7" s="7" t="str">
        <x:v>Aumento propuesto por controles OTP</x:v>
      </x:c>
    </x:row>
    <x:row r="8" ht="32" customHeight="1">
      <x:c r="A8" s="7" t="str">
        <x:v>Estimación aprobada</x:v>
      </x:c>
      <x:c r="B8" s="7" t="str">
        <x:f>IF(COUNT(Historias!F5:F7)=3,SUM(Historias!F5:F7),"Pendiente")</x:f>
        <x:v>Pendiente</x:v>
      </x:c>
      <x:c r="C8" s="7" t="str">
        <x:v>Sin acta de estimación registrada</x:v>
      </x:c>
    </x:row>
    <x:row r="9" ht="32" customHeight="1">
      <x:c r="A9" s="7" t="str">
        <x:v>Sprint original</x:v>
      </x:c>
      <x:c r="B9" s="7" t="str">
        <x:v>30/09 al 07/10/2026</x:v>
      </x:c>
      <x:c r="C9" s="7" t="str">
        <x:v>Charter 14</x:v>
      </x:c>
    </x:row>
    <x:row r="10" ht="32" customHeight="1">
      <x:c r="A10" s="7" t="str">
        <x:v>Fecha de revisión</x:v>
      </x:c>
      <x:c r="B10" s="7" t="str">
        <x:v>22/10/2026</x:v>
      </x:c>
      <x:c r="C10" s="7" t="str">
        <x:v>No acredita ejecución histórica</x:v>
      </x:c>
    </x:row>
    <x:row r="11" ht="48" customHeight="1">
      <x:c r="A11" s="7" t="str">
        <x:v>Objetivo</x:v>
      </x:c>
      <x:c r="B11" s="7" t="str">
        <x:v>Habilitar una base segura para gestionar usuarios y permisos, registrar y buscar pacientes y recuperar el acceso mediante OTP controlado, con trazabilidad verificable.</x:v>
      </x:c>
      <x:c r="C11" s="7" t="str">
        <x:v>Propuesta alineada con Charter 13.1</x:v>
      </x:c>
    </x:row>
    <x:row r="12" ht="32" customHeight="1">
      <x:c r="A12" s="7" t="str">
        <x:v>Cierre de historias</x:v>
      </x:c>
      <x:c r="B12" s="7" t="str">
        <x:v>No acreditado</x:v>
      </x:c>
      <x:c r="C12" s="7" t="str">
        <x:v>Faltan evidencias integradas y calidad aplicable</x:v>
      </x:c>
    </x:row>
    <x:row r="13" ht="32" customHeight="1">
      <x:c r="A13" s="7" t="str">
        <x:v>Publicación</x:v>
      </x:c>
      <x:c r="B13" s="7" t="str">
        <x:v>HTTP 200 y CI exitoso</x:v>
      </x:c>
      <x:c r="C13" s="7" t="str">
        <x:v>Frontend sin backend público configurado</x:v>
      </x:c>
    </x:row>
    <x:row r="14" ht="32" customHeight="1">
      <x:c r="A14" s="7" t="str">
        <x:v>Actualización remota</x:v>
      </x:c>
      <x:c r="B14" s="7" t="str">
        <x:v>No realizada</x:v>
      </x:c>
      <x:c r="C14" s="7" t="str">
        <x:v>Conexión con push=false</x:v>
      </x:c>
    </x:row>
    <x:row r="15" ht="32" customHeight="1">
      <x:c r="A15" s="7" t="str">
        <x:v>Uso de plantillas</x:v>
      </x:c>
      <x:c r="B15" s="7" t="str">
        <x:v>Registrar hechos reales</x:v>
      </x:c>
      <x:c r="C15" s="7" t="str">
        <x:v>Celdas amarillas para completar. No son actas existentes.</x:v>
      </x:c>
    </x:row>
    <x:row r="16" ht="32" customHeight="1">
      <x:c r="A16" s="7" t="str">
        <x:v>Fuente de alcance</x:v>
      </x:c>
      <x:c r="B16" s="7" t="str">
        <x:v>Charter aportado, versión 1.1</x:v>
      </x:c>
      <x:c r="C16" s="7" t="str">
        <x:v>Pendiente de validación del cliente según su control de versiones</x:v>
      </x:c>
    </x:row>
  </x:sheetData>
  <x:pageMargins left="0.7" right="0.7" top="0.75" bottom="0.75" header="0.3" footer="0.3"/>
  <x:tableParts count="1">
    <x:tablePart xmlns:r="http://schemas.openxmlformats.org/officeDocument/2006/relationships" r:id="R94a530dd30224c7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65" hidden="0" customWidth="1"/>
    <x:col min="3" max="3" width="12" hidden="0" customWidth="1"/>
    <x:col min="4" max="4" width="12" hidden="0" customWidth="1"/>
    <x:col min="5" max="5" width="14" hidden="0" customWidth="1"/>
    <x:col min="6" max="6" width="14" hidden="0" customWidth="1"/>
    <x:col min="7" max="7" width="70" hidden="0" customWidth="1"/>
    <x:col min="8" max="8" width="35" hidden="0" customWidth="1"/>
  </x:cols>
  <x:sheetData>
    <x:row r="2">
      <x:c r="A2" s="2" t="str">
        <x:v>Estimación relativa y validación</x:v>
      </x:c>
      <x:c r="B2" s="1"/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 ht="32" customHeight="1">
      <x:c r="A4" s="5" t="str">
        <x:v>ID</x:v>
      </x:c>
      <x:c r="B4" s="5" t="str">
        <x:v>Historia y valor</x:v>
      </x:c>
      <x:c r="C4" s="5" t="str">
        <x:v>Prioridad</x:v>
      </x:c>
      <x:c r="D4" s="5" t="str">
        <x:v>SP inicial</x:v>
      </x:c>
      <x:c r="E4" s="5" t="str">
        <x:v>SP propuesto</x:v>
      </x:c>
      <x:c r="F4" s="5" t="str">
        <x:v>SP acordado</x:v>
      </x:c>
      <x:c r="G4" s="5" t="str">
        <x:v>Justificación</x:v>
      </x:c>
      <x:c r="H4" s="5" t="str">
        <x:v>Acta de consenso</x:v>
      </x:c>
    </x:row>
    <x:row r="5" ht="72" customHeight="1">
      <x:c r="A5" s="7" t="str">
        <x:v>HU-01</x:v>
      </x:c>
      <x:c r="B5" s="7" t="str">
        <x:v>Como Administrador, quiero gestionar usuarios y roles, para controlar quién accede a cada módulo.</x:v>
      </x:c>
      <x:c r="C5" s="7" t="str">
        <x:v>Alta</x:v>
      </x:c>
      <x:c r="D5" s="9" t="n">
        <x:v>8</x:v>
      </x:c>
      <x:c r="E5" s="9" t="n">
        <x:v>8</x:v>
      </x:c>
      <x:c r="F5" s="10"/>
      <x:c r="G5" s="7" t="str">
        <x:v>Referencia de mayor complejidad: matriz RBAC, cambio de permisos, revocación de sesiones y bitácora. Mantener 8 sujeto al consenso de Developers.</x:v>
      </x:c>
      <x:c r="H5" s="8"/>
    </x:row>
    <x:row r="6" ht="72" customHeight="1">
      <x:c r="A6" s="7" t="str">
        <x:v>HU-02</x:v>
      </x:c>
      <x:c r="B6" s="7" t="str">
        <x:v>Como Recepcionista, quiero registrar y buscar un paciente, para evitar duplicados y disponer de su información.</x:v>
      </x:c>
      <x:c r="C6" s="7" t="str">
        <x:v>Alta</x:v>
      </x:c>
      <x:c r="D6" s="9" t="n">
        <x:v>5</x:v>
      </x:c>
      <x:c r="E6" s="9" t="n">
        <x:v>5</x:v>
      </x:c>
      <x:c r="F6" s="10"/>
      <x:c r="G6" s="7" t="str">
        <x:v>Referencia intermedia: ficha, validaciones, unicidad por documento y tres búsquedas. Se mantiene 5 si la ficha y reglas quedan cerradas.</x:v>
      </x:c>
      <x:c r="H6" s="8"/>
    </x:row>
    <x:row r="7" ht="72" customHeight="1">
      <x:c r="A7" s="7" t="str">
        <x:v>HU-12</x:v>
      </x:c>
      <x:c r="B7" s="7" t="str">
        <x:v>Como Usuario autorizado, quiero recuperar mi acceso mediante OTP, para restablecer credenciales de forma controlada.</x:v>
      </x:c>
      <x:c r="C7" s="7" t="str">
        <x:v>Alta</x:v>
      </x:c>
      <x:c r="D7" s="9" t="n">
        <x:v>5</x:v>
      </x:c>
      <x:c r="E7" s="9" t="n">
        <x:v>8</x:v>
      </x:c>
      <x:c r="F7" s="10"/>
      <x:c r="G7" s="7" t="str">
        <x:v>Propuesta de aumento de 5 a 8 por solicitud previa, expiración, intentos, consumo único, no enumeración, auditoría e invalidación de sesiones. No es una votación realizada ni un punto impuesto por el Charter.</x:v>
      </x:c>
      <x:c r="H7" s="8"/>
    </x:row>
    <x:row r="10">
      <x:c r="A10" t="str">
        <x:v>Escala 1, 2, 3, 5, 8, 13, 21. Puntos no equivalen a horas. No se realizó votación en esta revisión.</x:v>
      </x:c>
    </x:row>
  </x:sheetData>
  <x:dataValidations count="1">
    <x:dataValidation type="list" sqref="F5:F7">
      <x:formula1>"1,2,3,5,8,13,21"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af3b077ba9403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2" hidden="0" customWidth="1"/>
    <x:col min="3" max="3" width="105" hidden="0" customWidth="1"/>
    <x:col min="4" max="4" width="20" hidden="0" customWidth="1"/>
    <x:col min="5" max="5" width="45" hidden="0" customWidth="1"/>
    <x:col min="6" max="6" width="18" hidden="0" customWidth="1"/>
    <x:col min="7" max="7" width="25" hidden="0" customWidth="1"/>
  </x:cols>
  <x:sheetData>
    <x:row r="2">
      <x:c r="A2" s="2" t="str">
        <x:v>Casos de aceptación y resultados</x:v>
      </x:c>
      <x:c r="B2" s="1"/>
      <x:c r="C2" s="1"/>
      <x:c r="D2" s="1"/>
      <x:c r="E2" s="1"/>
      <x:c r="F2" s="1"/>
      <x:c r="G2" s="1"/>
    </x:row>
    <x:row r="3">
      <x:c r="A3" s="1"/>
      <x:c r="B3" s="1"/>
      <x:c r="C3" s="1"/>
      <x:c r="D3" s="1"/>
      <x:c r="E3" s="1"/>
      <x:c r="F3" s="1"/>
      <x:c r="G3" s="1"/>
    </x:row>
    <x:row r="4" ht="32" customHeight="1">
      <x:c r="A4" s="5" t="str">
        <x:v>Criterio</x:v>
      </x:c>
      <x:c r="B4" s="5" t="str">
        <x:v>HU</x:v>
      </x:c>
      <x:c r="C4" s="5" t="str">
        <x:v>Escenario y resultado esperado</x:v>
      </x:c>
      <x:c r="D4" s="5" t="str">
        <x:v>Resultado real</x:v>
      </x:c>
      <x:c r="E4" s="5" t="str">
        <x:v>Evidencia</x:v>
      </x:c>
      <x:c r="F4" s="5" t="str">
        <x:v>Fecha real</x:v>
      </x:c>
      <x:c r="G4" s="5" t="str">
        <x:v>Ejecutor</x:v>
      </x:c>
    </x:row>
    <x:row r="5" ht="42" customHeight="1">
      <x:c r="A5" s="7" t="str">
        <x:v>CA-01.1</x:v>
      </x:c>
      <x:c r="B5" s="7" t="str">
        <x:v>HU-01</x:v>
      </x:c>
      <x:c r="C5" s="7" t="str">
        <x:v>Dado un ADMIN autenticado, cuando crea un usuario válido y asigna un rol autorizado, entonces se registra la cuenta y sus permisos corresponden a la matriz acordada.</x:v>
      </x:c>
      <x:c r="D5" s="8" t="str">
        <x:v>Pendiente</x:v>
      </x:c>
      <x:c r="E5" s="8"/>
      <x:c r="F5" s="11"/>
      <x:c r="G5" s="8"/>
    </x:row>
    <x:row r="6" ht="42" customHeight="1">
      <x:c r="A6" s="7" t="str">
        <x:v>CA-01.2</x:v>
      </x:c>
      <x:c r="B6" s="7" t="str">
        <x:v>HU-01</x:v>
      </x:c>
      <x:c r="C6" s="7" t="str">
        <x:v>Dado un usuario con sesión activa, cuando ADMIN cambia su rol o lo bloquea, entonces el siguiente acceso con la sesión previa se rechaza y se aplican los nuevos permisos tras autenticar de nuevo.</x:v>
      </x:c>
      <x:c r="D6" s="8" t="str">
        <x:v>Pendiente</x:v>
      </x:c>
      <x:c r="E6" s="8"/>
      <x:c r="F6" s="11"/>
      <x:c r="G6" s="8"/>
    </x:row>
    <x:row r="7" ht="42" customHeight="1">
      <x:c r="A7" s="7" t="str">
        <x:v>CA-01.3</x:v>
      </x:c>
      <x:c r="B7" s="7" t="str">
        <x:v>HU-01</x:v>
      </x:c>
      <x:c r="C7" s="7" t="str">
        <x:v>Dado un usuario sin rol ADMIN, cuando invoca la administración de usuarios, entonces la API deniega la operación aunque se acceda por URL directa.</x:v>
      </x:c>
      <x:c r="D7" s="8" t="str">
        <x:v>Pendiente</x:v>
      </x:c>
      <x:c r="E7" s="8"/>
      <x:c r="F7" s="11"/>
      <x:c r="G7" s="8"/>
    </x:row>
    <x:row r="8" ht="42" customHeight="1">
      <x:c r="A8" s="7" t="str">
        <x:v>CA-01.4</x:v>
      </x:c>
      <x:c r="B8" s="7" t="str">
        <x:v>HU-01</x:v>
      </x:c>
      <x:c r="C8" s="7" t="str">
        <x:v>Dada una asignación o retiro de rol, cuando se guarda, entonces la bitácora conserva actor, fecha, usuario afectado y rol anterior y nuevo sin almacenar contraseñas ni OTP.</x:v>
      </x:c>
      <x:c r="D8" s="8" t="str">
        <x:v>Pendiente</x:v>
      </x:c>
      <x:c r="E8" s="8"/>
      <x:c r="F8" s="11"/>
      <x:c r="G8" s="8"/>
    </x:row>
    <x:row r="9" ht="42" customHeight="1">
      <x:c r="A9" s="7" t="str">
        <x:v>CA-02.1</x:v>
      </x:c>
      <x:c r="B9" s="7" t="str">
        <x:v>HU-02</x:v>
      </x:c>
      <x:c r="C9" s="7" t="str">
        <x:v>Dada Recepción autenticada y una ficha válida, cuando registra un documento nuevo, entonces el paciente se guarda y puede recuperarse en la clínica correspondiente.</x:v>
      </x:c>
      <x:c r="D9" s="8" t="str">
        <x:v>Pendiente</x:v>
      </x:c>
      <x:c r="E9" s="8"/>
      <x:c r="F9" s="11"/>
      <x:c r="G9" s="8"/>
    </x:row>
    <x:row r="10" ht="42" customHeight="1">
      <x:c r="A10" s="7" t="str">
        <x:v>CA-02.2</x:v>
      </x:c>
      <x:c r="B10" s="7" t="str">
        <x:v>HU-02</x:v>
      </x:c>
      <x:c r="C10" s="7" t="str">
        <x:v>Dado un documento existente, cuando se intenta registrar de nuevo, entonces el sistema advierte la coincidencia y no crea otro paciente; la API devuelve conflicto 409.</x:v>
      </x:c>
      <x:c r="D10" s="8" t="str">
        <x:v>Pendiente</x:v>
      </x:c>
      <x:c r="E10" s="8"/>
      <x:c r="F10" s="11"/>
      <x:c r="G10" s="8"/>
    </x:row>
    <x:row r="11" ht="42" customHeight="1">
      <x:c r="A11" s="7" t="str">
        <x:v>CA-02.3</x:v>
      </x:c>
      <x:c r="B11" s="7" t="str">
        <x:v>HU-02</x:v>
      </x:c>
      <x:c r="C11" s="7" t="str">
        <x:v>Dado un paciente de ensayo, cuando se busca por documento, nombre o teléfono con al menos dos caracteres, entonces aparece el registro correcto; una búsqueda sin coincidencias devuelve lista vacía.</x:v>
      </x:c>
      <x:c r="D11" s="8" t="str">
        <x:v>Pendiente</x:v>
      </x:c>
      <x:c r="E11" s="8"/>
      <x:c r="F11" s="11"/>
      <x:c r="G11" s="8"/>
    </x:row>
    <x:row r="12" ht="42" customHeight="1">
      <x:c r="A12" s="7" t="str">
        <x:v>CA-02.4</x:v>
      </x:c>
      <x:c r="B12" s="7" t="str">
        <x:v>HU-02</x:v>
      </x:c>
      <x:c r="C12" s="7" t="str">
        <x:v>Dadas dos solicitudes concurrentes con el mismo documento en la misma clínica, cuando se procesan, entonces existe un solo registro persistido y se informa el conflicto restante.</x:v>
      </x:c>
      <x:c r="D12" s="8" t="str">
        <x:v>Pendiente</x:v>
      </x:c>
      <x:c r="E12" s="8"/>
      <x:c r="F12" s="11"/>
      <x:c r="G12" s="8"/>
    </x:row>
    <x:row r="13" ht="42" customHeight="1">
      <x:c r="A13" s="7" t="str">
        <x:v>CA-02.5</x:v>
      </x:c>
      <x:c r="B13" s="7" t="str">
        <x:v>HU-02</x:v>
      </x:c>
      <x:c r="C13" s="7" t="str">
        <x:v>Dada una cuenta sin permiso de escritura, cuando intenta crear o editar pacientes, entonces se rechaza la operación; el aislamiento entre clínicas se verifica con datos ficticios.</x:v>
      </x:c>
      <x:c r="D13" s="8" t="str">
        <x:v>Pendiente</x:v>
      </x:c>
      <x:c r="E13" s="8"/>
      <x:c r="F13" s="11"/>
      <x:c r="G13" s="8"/>
    </x:row>
    <x:row r="14" ht="42" customHeight="1">
      <x:c r="A14" s="7" t="str">
        <x:v>CA-12.1</x:v>
      </x:c>
      <x:c r="B14" s="7" t="str">
        <x:v>HU-12</x:v>
      </x:c>
      <x:c r="C14" s="7" t="str">
        <x:v>Dada una cuenta activa, cuando solicita recuperación, entonces se crea un desafío para su destino y canal; la respuesta pública no distingue cuenta existente de inexistente.</x:v>
      </x:c>
      <x:c r="D14" s="8" t="str">
        <x:v>Pendiente</x:v>
      </x:c>
      <x:c r="E14" s="8"/>
      <x:c r="F14" s="11"/>
      <x:c r="G14" s="8"/>
    </x:row>
    <x:row r="15" ht="42" customHeight="1">
      <x:c r="A15" s="7" t="str">
        <x:v>CA-12.2</x:v>
      </x:c>
      <x:c r="B15" s="7" t="str">
        <x:v>HU-12</x:v>
      </x:c>
      <x:c r="C15" s="7" t="str">
        <x:v>Dado un OTP local solicitado, cuando transcurren diez minutos o se acumulan cinco errores, entonces no permite restablecer el acceso y se requiere una nueva solicitud.</x:v>
      </x:c>
      <x:c r="D15" s="8" t="str">
        <x:v>Pendiente</x:v>
      </x:c>
      <x:c r="E15" s="8"/>
      <x:c r="F15" s="11"/>
      <x:c r="G15" s="8"/>
    </x:row>
    <x:row r="16" ht="42" customHeight="1">
      <x:c r="A16" s="7" t="str">
        <x:v>CA-12.3</x:v>
      </x:c>
      <x:c r="B16" s="7" t="str">
        <x:v>HU-12</x:v>
      </x:c>
      <x:c r="C16" s="7" t="str">
        <x:v>Dado un desafío vigente y un código correcto, cuando se confirma una contraseña válida, entonces se restablece el acceso, se consume el desafío y un segundo uso se rechaza.</x:v>
      </x:c>
      <x:c r="D16" s="8" t="str">
        <x:v>Pendiente</x:v>
      </x:c>
      <x:c r="E16" s="8"/>
      <x:c r="F16" s="11"/>
      <x:c r="G16" s="8"/>
    </x:row>
    <x:row r="17" ht="42" customHeight="1">
      <x:c r="A17" s="7" t="str">
        <x:v>CA-12.4</x:v>
      </x:c>
      <x:c r="B17" s="7" t="str">
        <x:v>HU-12</x:v>
      </x:c>
      <x:c r="C17" s="7" t="str">
        <x:v>Dada una recuperación completada, cuando se usa un token previo, entonces se rechaza; el nuevo inicio de sesión usa la contraseña nueva.</x:v>
      </x:c>
      <x:c r="D17" s="8" t="str">
        <x:v>Pendiente</x:v>
      </x:c>
      <x:c r="E17" s="8"/>
      <x:c r="F17" s="11"/>
      <x:c r="G17" s="8"/>
    </x:row>
    <x:row r="18" ht="42" customHeight="1">
      <x:c r="A18" s="7" t="str">
        <x:v>CA-12.5</x:v>
      </x:c>
      <x:c r="B18" s="7" t="str">
        <x:v>HU-12</x:v>
      </x:c>
      <x:c r="C18" s="7" t="str">
        <x:v>Dada una solicitud, un rechazo por código o una recuperación completada, cuando ocurre el evento, entonces se registra la auditoría sin contraseña, OTP ni token; el fallo no revela existencia de cuenta.</x:v>
      </x:c>
      <x:c r="D18" s="8" t="str">
        <x:v>Pendiente</x:v>
      </x:c>
      <x:c r="E18" s="8"/>
      <x:c r="F18" s="11"/>
      <x:c r="G18" s="8"/>
    </x:row>
  </x:sheetData>
  <x:conditionalFormatting sqref="D5:D18">
    <x:cfRule type="containsText" dxfId="0" priority="1" operator="containsText" text="Fallido"/>
  </x:conditionalFormatting>
  <x:dataValidations count="1">
    <x:dataValidation type="list" sqref="D5:D18">
      <x:formula1>"Pendiente,Aprobado,Fallido,Bloqueado"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b3771a8de31401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15" hidden="0" customWidth="1"/>
    <x:col min="4" max="4" width="22" hidden="0" customWidth="1"/>
    <x:col min="5" max="5" width="45" hidden="0" customWidth="1"/>
  </x:cols>
  <x:sheetData>
    <x:row r="2">
      <x:c r="A2" s="2" t="str">
        <x:v>Tarjetas de preparación y terminado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 ht="32" customHeight="1">
      <x:c r="A4" s="5" t="str">
        <x:v>HU</x:v>
      </x:c>
      <x:c r="B4" s="5" t="str">
        <x:v>Tipo</x:v>
      </x:c>
      <x:c r="C4" s="5" t="str">
        <x:v>Condiciones</x:v>
      </x:c>
      <x:c r="D4" s="5" t="str">
        <x:v>Verificación real</x:v>
      </x:c>
      <x:c r="E4" s="5" t="str">
        <x:v>Evidencia</x:v>
      </x:c>
    </x:row>
    <x:row r="5" ht="42" customHeight="1">
      <x:c r="A5" s="7" t="str">
        <x:v>HU-01</x:v>
      </x:c>
      <x:c r="B5" s="7" t="str">
        <x:v>DoR</x:v>
      </x:c>
      <x:c r="C5" s="7" t="str">
        <x:v>Matriz ADMIN, RECEPCION y DOCTOR acordada; reglas de alta, bloqueo y retiro de rol aclaradas; cuenta de ensayo disponible; casos de acceso permitido y denegado definidos.</x:v>
      </x:c>
      <x:c r="D5" s="8" t="str">
        <x:v>Pendiente</x:v>
      </x:c>
      <x:c r="E5" s="8"/>
    </x:row>
    <x:row r="6" ht="42" customHeight="1">
      <x:c r="A6" s="7" t="str">
        <x:v>HU-01</x:v>
      </x:c>
      <x:c r="B6" s="7" t="str">
        <x:v>DoD</x:v>
      </x:c>
      <x:c r="C6" s="7" t="str">
        <x:v>Asignación y retiro de permisos contrastados en API e interfaz; sesiones anteriores rechazadas tras cambio relevante; bitácora verificable con actor, fecha y cambio; pruebas y revisión enlazadas.</x:v>
      </x:c>
      <x:c r="D6" s="8" t="str">
        <x:v>Pendiente</x:v>
      </x:c>
      <x:c r="E6" s="8"/>
    </x:row>
    <x:row r="7" ht="42" customHeight="1">
      <x:c r="A7" s="7" t="str">
        <x:v>HU-02</x:v>
      </x:c>
      <x:c r="B7" s="7" t="str">
        <x:v>DoR</x:v>
      </x:c>
      <x:c r="C7" s="7" t="str">
        <x:v>Ficha mínima y formatos acordados; definición de duplicado por documento dentro de la clínica confirmada; datos ficticios para las tres búsquedas; dependencia de autenticación disponible.</x:v>
      </x:c>
      <x:c r="D7" s="8" t="str">
        <x:v>Pendiente</x:v>
      </x:c>
      <x:c r="E7" s="8"/>
    </x:row>
    <x:row r="8" ht="42" customHeight="1">
      <x:c r="A8" s="7" t="str">
        <x:v>HU-02</x:v>
      </x:c>
      <x:c r="B8" s="7" t="str">
        <x:v>DoD</x:v>
      </x:c>
      <x:c r="C8" s="7" t="str">
        <x:v>Registro y persistencia comprobados en ensayo MySQL; búsqueda por documento, nombre y teléfono; duplicado secuencial y concurrente rechazado sin duplicar registros; acceso por rol y clínica contrastado.</x:v>
      </x:c>
      <x:c r="D8" s="8" t="str">
        <x:v>Pendiente</x:v>
      </x:c>
      <x:c r="E8" s="8"/>
    </x:row>
    <x:row r="9" ht="42" customHeight="1">
      <x:c r="A9" s="7" t="str">
        <x:v>HU-12</x:v>
      </x:c>
      <x:c r="B9" s="7" t="str">
        <x:v>DoR</x:v>
      </x:c>
      <x:c r="C9" s="7" t="str">
        <x:v>Canal académico local y datos de ensayo autorizados; vigencia de 10 minutos y cinco intentos acordados; contrato de respuesta genérica y eventos de auditoría definidos; dependencia de cuentas activas resuelta.</x:v>
      </x:c>
      <x:c r="D9" s="8" t="str">
        <x:v>Pendiente</x:v>
      </x:c>
      <x:c r="E9" s="8"/>
    </x:row>
    <x:row r="10" ht="42" customHeight="1">
      <x:c r="A10" s="7" t="str">
        <x:v>HU-12</x:v>
      </x:c>
      <x:c r="B10" s="7" t="str">
        <x:v>DoD</x:v>
      </x:c>
      <x:c r="C10" s="7" t="str">
        <x:v>Solicitud previa, expiración, cinco errores, uso único y no enumeración contrastados; contraseña nueva permite acceso y sesiones anteriores dejan de ser válidas; eventos auditados; proveedor local documentado como académico.</x:v>
      </x:c>
      <x:c r="D10" s="8" t="str">
        <x:v>Pendiente</x:v>
      </x:c>
      <x:c r="E10" s="8"/>
    </x:row>
    <x:row r="11" ht="42" customHeight="1">
      <x:c r="A11" s="7" t="str">
        <x:v>Común</x:v>
      </x:c>
      <x:c r="B11" s="7" t="str">
        <x:v>DoR</x:v>
      </x:c>
      <x:c r="C11" s="7" t="str">
        <x:v>Valor, reglas, criterios, dependencias, datos de ensayo, estimación y capacidad acordados.</x:v>
      </x:c>
      <x:c r="D11" s="8" t="str">
        <x:v>Pendiente</x:v>
      </x:c>
      <x:c r="E11" s="8"/>
    </x:row>
    <x:row r="12" ht="42" customHeight="1">
      <x:c r="A12" s="7" t="str">
        <x:v>Común</x:v>
      </x:c>
      <x:c r="B12" s="7" t="str">
        <x:v>DoD</x:v>
      </x:c>
      <x:c r="C12" s="7" t="str">
        <x:v>Código integrado y revisado, criterios y pruebas aprobados, documentación actualizada y sin defectos críticos conocidos. Ensayo integrado pendiente.</x:v>
      </x:c>
      <x:c r="D12" s="8" t="str">
        <x:v>Pendiente</x:v>
      </x:c>
      <x:c r="E12" s="8"/>
    </x:row>
  </x:sheetData>
  <x:pageMargins left="0.7" right="0.7" top="0.75" bottom="0.75" header="0.3" footer="0.3"/>
  <x:tableParts count="1">
    <x:tablePart xmlns:r="http://schemas.openxmlformats.org/officeDocument/2006/relationships" r:id="R12e29c506fdf4fb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54" hidden="0" customWidth="1"/>
    <x:col min="4" max="4" width="30" hidden="0" customWidth="1"/>
    <x:col min="5" max="5" width="50" hidden="0" customWidth="1"/>
    <x:col min="6" max="6" width="22" hidden="0" customWidth="1"/>
    <x:col min="7" max="7" width="25" hidden="0" customWidth="1"/>
    <x:col min="8" max="8" width="20" hidden="0" customWidth="1"/>
    <x:col min="9" max="9" width="22" hidden="0" customWidth="1"/>
    <x:col min="10" max="10" width="40" hidden="0" customWidth="1"/>
  </x:cols>
  <x:sheetData>
    <x:row r="2">
      <x:c r="A2" s="2" t="str">
        <x:v>Plan propuesto de verificación y cierre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32" customHeight="1">
      <x:c r="A4" s="5" t="str">
        <x:v>Tarea</x:v>
      </x:c>
      <x:c r="B4" s="5" t="str">
        <x:v>HU</x:v>
      </x:c>
      <x:c r="C4" s="5" t="str">
        <x:v>Trabajo</x:v>
      </x:c>
      <x:c r="D4" s="5" t="str">
        <x:v>Rol sugerido</x:v>
      </x:c>
      <x:c r="E4" s="5" t="str">
        <x:v>Salida verificable</x:v>
      </x:c>
      <x:c r="F4" s="5" t="str">
        <x:v>Dependencia</x:v>
      </x:c>
      <x:c r="G4" s="5" t="str">
        <x:v>Persona asignada</x:v>
      </x:c>
      <x:c r="H4" s="5" t="str">
        <x:v>Horas estimadas</x:v>
      </x:c>
      <x:c r="I4" s="5" t="str">
        <x:v>Estado real</x:v>
      </x:c>
      <x:c r="J4" s="5" t="str">
        <x:v>Evidencia</x:v>
      </x:c>
    </x:row>
    <x:row r="5" ht="42" customHeight="1">
      <x:c r="A5" s="7" t="str">
        <x:v>T01</x:v>
      </x:c>
      <x:c r="B5" s="7" t="str">
        <x:v>HU-01</x:v>
      </x:c>
      <x:c r="C5" s="7" t="str">
        <x:v>Acordar RBAC y reglas de usuario</x:v>
      </x:c>
      <x:c r="D5" s="7" t="str">
        <x:v>Analista y Developers</x:v>
      </x:c>
      <x:c r="E5" s="7" t="str">
        <x:v>Matriz validada</x:v>
      </x:c>
      <x:c r="F5" s="7" t="str">
        <x:v>Ninguna</x:v>
      </x:c>
      <x:c r="G5" s="8"/>
      <x:c r="H5" s="12"/>
      <x:c r="I5" s="8" t="str">
        <x:v>Por verificar</x:v>
      </x:c>
      <x:c r="J5" s="8"/>
    </x:row>
    <x:row r="6" ht="42" customHeight="1">
      <x:c r="A6" s="7" t="str">
        <x:v>T02</x:v>
      </x:c>
      <x:c r="B6" s="7" t="str">
        <x:v>HU-01</x:v>
      </x:c>
      <x:c r="C6" s="7" t="str">
        <x:v>Verificar API, cambio de rol y revocación</x:v>
      </x:c>
      <x:c r="D6" s="7" t="str">
        <x:v>Developers</x:v>
      </x:c>
      <x:c r="E6" s="7" t="str">
        <x:v>CA-01.1 a CA-01.3 con resultados</x:v>
      </x:c>
      <x:c r="F6" s="7" t="str">
        <x:v>T01</x:v>
      </x:c>
      <x:c r="G6" s="8"/>
      <x:c r="H6" s="12"/>
      <x:c r="I6" s="8" t="str">
        <x:v>Por verificar</x:v>
      </x:c>
      <x:c r="J6" s="8"/>
    </x:row>
    <x:row r="7" ht="42" customHeight="1">
      <x:c r="A7" s="7" t="str">
        <x:v>T03</x:v>
      </x:c>
      <x:c r="B7" s="7" t="str">
        <x:v>HU-01</x:v>
      </x:c>
      <x:c r="C7" s="7" t="str">
        <x:v>Contrastar bitácora en MySQL e interfaz</x:v>
      </x:c>
      <x:c r="D7" s="7" t="str">
        <x:v>Developers y QA</x:v>
      </x:c>
      <x:c r="E7" s="7" t="str">
        <x:v>CA-01.4 con consulta y captura</x:v>
      </x:c>
      <x:c r="F7" s="7" t="str">
        <x:v>T02</x:v>
      </x:c>
      <x:c r="G7" s="8"/>
      <x:c r="H7" s="12"/>
      <x:c r="I7" s="8" t="str">
        <x:v>Por verificar</x:v>
      </x:c>
      <x:c r="J7" s="8"/>
    </x:row>
    <x:row r="8" ht="42" customHeight="1">
      <x:c r="A8" s="7" t="str">
        <x:v>T04</x:v>
      </x:c>
      <x:c r="B8" s="7" t="str">
        <x:v>HU-02</x:v>
      </x:c>
      <x:c r="C8" s="7" t="str">
        <x:v>Acordar ficha y regla de duplicados</x:v>
      </x:c>
      <x:c r="D8" s="7" t="str">
        <x:v>Analista y PO</x:v>
      </x:c>
      <x:c r="E8" s="7" t="str">
        <x:v>Ficha mínima aprobada</x:v>
      </x:c>
      <x:c r="F8" s="7" t="str">
        <x:v>T01</x:v>
      </x:c>
      <x:c r="G8" s="8"/>
      <x:c r="H8" s="12"/>
      <x:c r="I8" s="8" t="str">
        <x:v>Por verificar</x:v>
      </x:c>
      <x:c r="J8" s="8"/>
    </x:row>
    <x:row r="9" ht="42" customHeight="1">
      <x:c r="A9" s="7" t="str">
        <x:v>T05</x:v>
      </x:c>
      <x:c r="B9" s="7" t="str">
        <x:v>HU-02</x:v>
      </x:c>
      <x:c r="C9" s="7" t="str">
        <x:v>Verificar registro y búsquedas</x:v>
      </x:c>
      <x:c r="D9" s="7" t="str">
        <x:v>Developers y QA</x:v>
      </x:c>
      <x:c r="E9" s="7" t="str">
        <x:v>CA-02.1 y CA-02.3</x:v>
      </x:c>
      <x:c r="F9" s="7" t="str">
        <x:v>T04</x:v>
      </x:c>
      <x:c r="G9" s="8"/>
      <x:c r="H9" s="12"/>
      <x:c r="I9" s="8" t="str">
        <x:v>Por verificar</x:v>
      </x:c>
      <x:c r="J9" s="8"/>
    </x:row>
    <x:row r="10" ht="42" customHeight="1">
      <x:c r="A10" s="7" t="str">
        <x:v>T06</x:v>
      </x:c>
      <x:c r="B10" s="7" t="str">
        <x:v>HU-02</x:v>
      </x:c>
      <x:c r="C10" s="7" t="str">
        <x:v>Probar duplicidad concurrente y permisos</x:v>
      </x:c>
      <x:c r="D10" s="7" t="str">
        <x:v>Developers y QA</x:v>
      </x:c>
      <x:c r="E10" s="7" t="str">
        <x:v>CA-02.2, CA-02.4 y CA-02.5</x:v>
      </x:c>
      <x:c r="F10" s="7" t="str">
        <x:v>T05</x:v>
      </x:c>
      <x:c r="G10" s="8"/>
      <x:c r="H10" s="12"/>
      <x:c r="I10" s="8" t="str">
        <x:v>Por verificar</x:v>
      </x:c>
      <x:c r="J10" s="8"/>
    </x:row>
    <x:row r="11" ht="42" customHeight="1">
      <x:c r="A11" s="7" t="str">
        <x:v>T07</x:v>
      </x:c>
      <x:c r="B11" s="7" t="str">
        <x:v>HU-12</x:v>
      </x:c>
      <x:c r="C11" s="7" t="str">
        <x:v>Acordar canal, vigencia e intentos OTP</x:v>
      </x:c>
      <x:c r="D11" s="7" t="str">
        <x:v>PO y Developers</x:v>
      </x:c>
      <x:c r="E11" s="7" t="str">
        <x:v>Contrato de recuperación acordado</x:v>
      </x:c>
      <x:c r="F11" s="7" t="str">
        <x:v>T01</x:v>
      </x:c>
      <x:c r="G11" s="8"/>
      <x:c r="H11" s="12"/>
      <x:c r="I11" s="8" t="str">
        <x:v>Por verificar</x:v>
      </x:c>
      <x:c r="J11" s="8"/>
    </x:row>
    <x:row r="12" ht="42" customHeight="1">
      <x:c r="A12" s="7" t="str">
        <x:v>T08</x:v>
      </x:c>
      <x:c r="B12" s="7" t="str">
        <x:v>HU-12</x:v>
      </x:c>
      <x:c r="C12" s="7" t="str">
        <x:v>Contrastar desafío y no enumeración</x:v>
      </x:c>
      <x:c r="D12" s="7" t="str">
        <x:v>Developers y QA</x:v>
      </x:c>
      <x:c r="E12" s="7" t="str">
        <x:v>CA-12.1 a CA-12.3</x:v>
      </x:c>
      <x:c r="F12" s="7" t="str">
        <x:v>T07</x:v>
      </x:c>
      <x:c r="G12" s="8"/>
      <x:c r="H12" s="12"/>
      <x:c r="I12" s="8" t="str">
        <x:v>Por verificar</x:v>
      </x:c>
      <x:c r="J12" s="8"/>
    </x:row>
    <x:row r="13" ht="42" customHeight="1">
      <x:c r="A13" s="7" t="str">
        <x:v>T09</x:v>
      </x:c>
      <x:c r="B13" s="7" t="str">
        <x:v>HU-12</x:v>
      </x:c>
      <x:c r="C13" s="7" t="str">
        <x:v>Probar sesiones y auditoría de recuperación</x:v>
      </x:c>
      <x:c r="D13" s="7" t="str">
        <x:v>Developers y QA</x:v>
      </x:c>
      <x:c r="E13" s="7" t="str">
        <x:v>CA-12.4 y CA-12.5</x:v>
      </x:c>
      <x:c r="F13" s="7" t="str">
        <x:v>T08</x:v>
      </x:c>
      <x:c r="G13" s="8"/>
      <x:c r="H13" s="12"/>
      <x:c r="I13" s="8" t="str">
        <x:v>Por verificar</x:v>
      </x:c>
      <x:c r="J13" s="8"/>
    </x:row>
    <x:row r="14" ht="42" customHeight="1">
      <x:c r="A14" s="7" t="str">
        <x:v>T10</x:v>
      </x:c>
      <x:c r="B14" s="7" t="str">
        <x:v>Común</x:v>
      </x:c>
      <x:c r="C14" s="7" t="str">
        <x:v>Ejecutar demostración integrada de ensayo</x:v>
      </x:c>
      <x:c r="D14" s="7" t="str">
        <x:v>Developers y QA</x:v>
      </x:c>
      <x:c r="E14" s="7" t="str">
        <x:v>Versión, casos, resultados y capturas</x:v>
      </x:c>
      <x:c r="F14" s="7" t="str">
        <x:v>T03, T06, T09</x:v>
      </x:c>
      <x:c r="G14" s="8"/>
      <x:c r="H14" s="12"/>
      <x:c r="I14" s="8" t="str">
        <x:v>Por verificar</x:v>
      </x:c>
      <x:c r="J14" s="8"/>
    </x:row>
    <x:row r="15" ht="42" customHeight="1">
      <x:c r="A15" s="7" t="str">
        <x:v>T11</x:v>
      </x:c>
      <x:c r="B15" s="7" t="str">
        <x:v>Común</x:v>
      </x:c>
      <x:c r="C15" s="7" t="str">
        <x:v>Inspeccionar incremento y adaptar backlog</x:v>
      </x:c>
      <x:c r="D15" s="7" t="str">
        <x:v>Scrum Team e interesados</x:v>
      </x:c>
      <x:c r="E15" s="7" t="str">
        <x:v>Registro real de Review</x:v>
      </x:c>
      <x:c r="F15" s="7" t="str">
        <x:v>T10</x:v>
      </x:c>
      <x:c r="G15" s="8"/>
      <x:c r="H15" s="12"/>
      <x:c r="I15" s="8" t="str">
        <x:v>Por verificar</x:v>
      </x:c>
      <x:c r="J15" s="8"/>
    </x:row>
    <x:row r="16" ht="42" customHeight="1">
      <x:c r="A16" s="7" t="str">
        <x:v>T12</x:v>
      </x:c>
      <x:c r="B16" s="7" t="str">
        <x:v>Común</x:v>
      </x:c>
      <x:c r="C16" s="7" t="str">
        <x:v>Acordar mejora y seguimiento</x:v>
      </x:c>
      <x:c r="D16" s="7" t="str">
        <x:v>Scrum Team</x:v>
      </x:c>
      <x:c r="E16" s="7" t="str">
        <x:v>Acción real de Retrospective</x:v>
      </x:c>
      <x:c r="F16" s="7" t="str">
        <x:v>T11</x:v>
      </x:c>
      <x:c r="G16" s="8"/>
      <x:c r="H16" s="12"/>
      <x:c r="I16" s="8" t="str">
        <x:v>Por verificar</x:v>
      </x:c>
      <x:c r="J16" s="8"/>
    </x:row>
  </x:sheetData>
  <x:dataValidations count="1">
    <x:dataValidation type="list" sqref="I5:I16">
      <x:formula1>"Por verificar,Pendiente,En curso,Bloqueado,Terminado"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144ba0b56c4ad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5" hidden="0" customWidth="1"/>
    <x:col min="3" max="3" width="78" hidden="0" customWidth="1"/>
    <x:col min="4" max="4" width="20" hidden="0" customWidth="1"/>
    <x:col min="5" max="5" width="35" hidden="0" customWidth="1"/>
    <x:col min="6" max="6" width="50" hidden="0" customWidth="1"/>
    <x:col min="7" max="7" width="50" hidden="0" customWidth="1"/>
    <x:col min="8" max="8" width="45" hidden="0" customWidth="1"/>
  </x:cols>
  <x:sheetData>
    <x:row r="2">
      <x:c r="A2" s="2" t="str">
        <x:v>Agendas y registros pendientes</x:v>
      </x:c>
      <x:c r="B2" s="1"/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 ht="32" customHeight="1">
      <x:c r="A4" s="5" t="str">
        <x:v>Evento</x:v>
      </x:c>
      <x:c r="B4" s="5" t="str">
        <x:v>Tipo de registro</x:v>
      </x:c>
      <x:c r="C4" s="5" t="str">
        <x:v>Guía</x:v>
      </x:c>
      <x:c r="D4" s="5" t="str">
        <x:v>Fecha real</x:v>
      </x:c>
      <x:c r="E4" s="5" t="str">
        <x:v>Asistentes</x:v>
      </x:c>
      <x:c r="F4" s="5" t="str">
        <x:v>Hallazgo o progreso real</x:v>
      </x:c>
      <x:c r="G4" s="5" t="str">
        <x:v>Acuerdo y responsable</x:v>
      </x:c>
      <x:c r="H4" s="5" t="str">
        <x:v>Enlace de evidencia</x:v>
      </x:c>
    </x:row>
    <x:row r="5" ht="42" customHeight="1">
      <x:c r="A5" s="7" t="str">
        <x:v>Daily Scrum</x:v>
      </x:c>
      <x:c r="B5" s="7" t="str">
        <x:v>Plantilla sin ejecutar</x:v>
      </x:c>
      <x:c r="C5" s="7" t="str">
        <x:v>15 minutos. Developers inspeccionan el objetivo y ajustan su plan.</x:v>
      </x:c>
      <x:c r="D5" s="11"/>
      <x:c r="E5" s="8"/>
      <x:c r="F5" s="8"/>
      <x:c r="G5" s="8"/>
      <x:c r="H5" s="8"/>
    </x:row>
    <x:row r="6" ht="42" customHeight="1">
      <x:c r="A6" s="7" t="str">
        <x:v>Daily Scrum</x:v>
      </x:c>
      <x:c r="B6" s="7" t="str">
        <x:v>Plantilla sin ejecutar</x:v>
      </x:c>
      <x:c r="C6" s="7" t="str">
        <x:v>Registrar progreso con evidencia, siguiente trabajo e impedimentos.</x:v>
      </x:c>
      <x:c r="D6" s="11"/>
      <x:c r="E6" s="8"/>
      <x:c r="F6" s="8"/>
      <x:c r="G6" s="8"/>
      <x:c r="H6" s="8"/>
    </x:row>
    <x:row r="7" ht="42" customHeight="1">
      <x:c r="A7" s="7" t="str">
        <x:v>Sprint Review</x:v>
      </x:c>
      <x:c r="B7" s="7" t="str">
        <x:v>Agenda propuesta</x:v>
      </x:c>
      <x:c r="C7" s="7" t="str">
        <x:v>45 minutos: contexto 5, inspección 25, feedback 10, acuerdos 5.</x:v>
      </x:c>
      <x:c r="D7" s="11"/>
      <x:c r="E7" s="8"/>
      <x:c r="F7" s="8"/>
      <x:c r="G7" s="8"/>
      <x:c r="H7" s="8"/>
    </x:row>
    <x:row r="8" ht="42" customHeight="1">
      <x:c r="A8" s="7" t="str">
        <x:v>Sprint Review</x:v>
      </x:c>
      <x:c r="B8" s="7" t="str">
        <x:v>Plantilla sin ejecutar</x:v>
      </x:c>
      <x:c r="C8" s="7" t="str">
        <x:v>Registrar versión, DoD, criterios, feedback real, decisiones y cambios al backlog.</x:v>
      </x:c>
      <x:c r="D8" s="11"/>
      <x:c r="E8" s="8"/>
      <x:c r="F8" s="8"/>
      <x:c r="G8" s="8"/>
      <x:c r="H8" s="8"/>
    </x:row>
    <x:row r="9" ht="42" customHeight="1">
      <x:c r="A9" s="7" t="str">
        <x:v>Retrospective</x:v>
      </x:c>
      <x:c r="B9" s="7" t="str">
        <x:v>Agenda propuesta</x:v>
      </x:c>
      <x:c r="C9" s="7" t="str">
        <x:v>30 minutos: hechos 5, causas 10, mejora 10, seguimiento 5.</x:v>
      </x:c>
      <x:c r="D9" s="11"/>
      <x:c r="E9" s="8"/>
      <x:c r="F9" s="8"/>
      <x:c r="G9" s="8"/>
      <x:c r="H9" s="8"/>
    </x:row>
    <x:row r="10" ht="42" customHeight="1">
      <x:c r="A10" s="7" t="str">
        <x:v>Retrospective</x:v>
      </x:c>
      <x:c r="B10" s="7" t="str">
        <x:v>Plantilla sin ejecutar</x:v>
      </x:c>
      <x:c r="C10" s="7" t="str">
        <x:v>Registrar observación real, causa, acción acordada y cómo se comprobará.</x:v>
      </x:c>
      <x:c r="D10" s="11"/>
      <x:c r="E10" s="8"/>
      <x:c r="F10" s="8"/>
      <x:c r="G10" s="8"/>
      <x:c r="H10" s="8"/>
    </x:row>
  </x:sheetData>
  <x:pageMargins left="0.7" right="0.7" top="0.75" bottom="0.75" header="0.3" footer="0.3"/>
  <x:tableParts count="1">
    <x:tablePart xmlns:r="http://schemas.openxmlformats.org/officeDocument/2006/relationships" r:id="R208ceee340ca4de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0" hidden="0" customWidth="1"/>
    <x:col min="2" max="2" width="20" hidden="0" customWidth="1"/>
    <x:col min="3" max="3" width="20" hidden="0" customWidth="1"/>
    <x:col min="4" max="4" width="24" hidden="0" customWidth="1"/>
    <x:col min="5" max="5" width="24" hidden="0" customWidth="1"/>
    <x:col min="6" max="6" width="24" hidden="0" customWidth="1"/>
  </x:cols>
  <x:sheetData>
    <x:row r="2">
      <x:c r="A2" s="2" t="str">
        <x:v>Disponibilidad por confirmar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 ht="32" customHeight="1">
      <x:c r="A4" s="5" t="str">
        <x:v>Persona según Charter</x:v>
      </x:c>
      <x:c r="B4" s="5" t="str">
        <x:v>Días disponibles</x:v>
      </x:c>
      <x:c r="C4" s="5" t="str">
        <x:v>Horas por día</x:v>
      </x:c>
      <x:c r="D4" s="5" t="str">
        <x:v>Ausencias en horas</x:v>
      </x:c>
      <x:c r="E4" s="5" t="str">
        <x:v>Capacidad en horas</x:v>
      </x:c>
      <x:c r="F4" s="5" t="str">
        <x:v>Confirmación</x:v>
      </x:c>
    </x:row>
    <x:row r="5" ht="30" customHeight="1">
      <x:c r="A5" s="7" t="str">
        <x:v>Hoyos Callacondo Ángel David</x:v>
      </x:c>
      <x:c r="B5" s="12"/>
      <x:c r="C5" s="12"/>
      <x:c r="D5" s="12"/>
      <x:c r="E5" s="13" t="str">
        <x:f>IF(COUNT(B5:D5)&lt;3,"Pendiente",IF(OR(B5&lt;0,C5&lt;0,D5&lt;0,D5&gt;B5*C5),"Revisar",B5*C5-D5))</x:f>
        <x:v>Pendiente</x:v>
      </x:c>
      <x:c r="F5" s="7" t="str">
        <x:v>Pendiente</x:v>
      </x:c>
    </x:row>
    <x:row r="6" ht="30" customHeight="1">
      <x:c r="A6" s="7" t="str">
        <x:v>Ancajima Tripul Rony Alonso</x:v>
      </x:c>
      <x:c r="B6" s="12"/>
      <x:c r="C6" s="12"/>
      <x:c r="D6" s="12"/>
      <x:c r="E6" s="13" t="str">
        <x:f>IF(COUNT(B6:D6)&lt;3,"Pendiente",IF(OR(B6&lt;0,C6&lt;0,D6&lt;0,D6&gt;B6*C6),"Revisar",B6*C6-D6))</x:f>
        <x:v>Pendiente</x:v>
      </x:c>
      <x:c r="F6" s="7" t="str">
        <x:v>Pendiente</x:v>
      </x:c>
    </x:row>
    <x:row r="7" ht="30" customHeight="1">
      <x:c r="A7" s="7" t="str">
        <x:v>Perez Salcedo Axel Jackson</x:v>
      </x:c>
      <x:c r="B7" s="12"/>
      <x:c r="C7" s="12"/>
      <x:c r="D7" s="12"/>
      <x:c r="E7" s="13" t="str">
        <x:f>IF(COUNT(B7:D7)&lt;3,"Pendiente",IF(OR(B7&lt;0,C7&lt;0,D7&lt;0,D7&gt;B7*C7),"Revisar",B7*C7-D7))</x:f>
        <x:v>Pendiente</x:v>
      </x:c>
      <x:c r="F7" s="7" t="str">
        <x:v>Pendiente</x:v>
      </x:c>
    </x:row>
    <x:row r="8" ht="30" customHeight="1">
      <x:c r="A8" s="7" t="str">
        <x:v>Vasquez Toro Gabriel Mesías</x:v>
      </x:c>
      <x:c r="B8" s="12"/>
      <x:c r="C8" s="12"/>
      <x:c r="D8" s="12"/>
      <x:c r="E8" s="13" t="str">
        <x:f>IF(COUNT(B8:D8)&lt;3,"Pendiente",IF(OR(B8&lt;0,C8&lt;0,D8&lt;0,D8&gt;B8*C8),"Revisar",B8*C8-D8))</x:f>
        <x:v>Pendiente</x:v>
      </x:c>
      <x:c r="F8" s="7" t="str">
        <x:v>Pendiente</x:v>
      </x:c>
    </x:row>
    <x:row r="9" ht="30" customHeight="1">
      <x:c r="A9" s="7" t="str">
        <x:v>Paredes Cardenaz Juan Tomas</x:v>
      </x:c>
      <x:c r="B9" s="12"/>
      <x:c r="C9" s="12"/>
      <x:c r="D9" s="12"/>
      <x:c r="E9" s="13" t="str">
        <x:f>IF(COUNT(B9:D9)&lt;3,"Pendiente",IF(OR(B9&lt;0,C9&lt;0,D9&lt;0,D9&gt;B9*C9),"Revisar",B9*C9-D9))</x:f>
        <x:v>Pendiente</x:v>
      </x:c>
      <x:c r="F9" s="7" t="str">
        <x:v>Pendiente</x:v>
      </x:c>
    </x:row>
    <x:row r="12">
      <x:c r="A12" t="str">
        <x:v>Capacidad total confirmable</x:v>
      </x:c>
      <x:c r="E12" t="str">
        <x:f>IF(COUNT(E5:E9)=5,SUM(E5:E9),"Pendiente")</x:f>
        <x:v>Pendiente</x:v>
      </x:c>
    </x:row>
    <x:row r="14">
      <x:c r="A14" t="str">
        <x:v>Cargar solo disponibilidad destinada al trabajo del Sprint. No convertir SP en horas.</x:v>
      </x:c>
    </x:row>
  </x:sheetData>
  <x:pageMargins left="0.7" right="0.7" top="0.75" bottom="0.75" header="0.3" footer="0.3"/>
  <x:tableParts count="1">
    <x:tablePart xmlns:r="http://schemas.openxmlformats.org/officeDocument/2006/relationships" r:id="Ra3018130ae0a42b3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45" hidden="0" customWidth="1"/>
    <x:col min="3" max="3" width="90" hidden="0" customWidth="1"/>
    <x:col min="4" max="4" width="80" hidden="0" customWidth="1"/>
    <x:col min="5" max="5" width="35" hidden="0" customWidth="1"/>
  </x:cols>
  <x:sheetData>
    <x:row r="2">
      <x:c r="A2" s="2" t="str">
        <x:v>Contraste de fuentes y decisiones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 ht="32" customHeight="1">
      <x:c r="A4" s="5" t="str">
        <x:v>Tema</x:v>
      </x:c>
      <x:c r="B4" s="5" t="str">
        <x:v>Fuente</x:v>
      </x:c>
      <x:c r="C4" s="5" t="str">
        <x:v>Hallazgo</x:v>
      </x:c>
      <x:c r="D4" s="5" t="str">
        <x:v>Acción propuesta</x:v>
      </x:c>
      <x:c r="E4" s="5" t="str">
        <x:v>Decisión real</x:v>
      </x:c>
    </x:row>
    <x:row r="5" ht="42" customHeight="1">
      <x:c r="A5" s="7" t="str">
        <x:v>Selección de historias</x:v>
      </x:c>
      <x:c r="B5" s="7" t="str">
        <x:v>Charter 13.1 y 14</x:v>
      </x:c>
      <x:c r="C5" s="7" t="str">
        <x:v>HU-01, HU-02 y HU-12 alineadas con identidad, seguridad y pacientes.</x:v>
      </x:c>
      <x:c r="D5" s="7" t="str">
        <x:v>Conservar selección, condicionada a capacidad y preparación.</x:v>
      </x:c>
      <x:c r="E5" s="8"/>
    </x:row>
    <x:row r="6" ht="42" customHeight="1">
      <x:c r="A6" s="7" t="str">
        <x:v>Estimación</x:v>
      </x:c>
      <x:c r="B6" s="7" t="str">
        <x:v>Charter 13.1 no contiene puntos</x:v>
      </x:c>
      <x:c r="C6" s="7" t="str">
        <x:v>18 SP preliminares frente a propuesta 21 SP del repositorio.</x:v>
      </x:c>
      <x:c r="D6" s="7" t="str">
        <x:v>Documentar 8 + 5 + 8 como propuesta, validar con Developers.</x:v>
      </x:c>
      <x:c r="E6" s="8"/>
    </x:row>
    <x:row r="7" ht="42" customHeight="1">
      <x:c r="A7" s="7" t="str">
        <x:v>Calendario</x:v>
      </x:c>
      <x:c r="B7" s="7" t="str">
        <x:v>Charter 14</x:v>
      </x:c>
      <x:c r="C7" s="7" t="str">
        <x:v>Sprint 1 del 30/09 al 07/10/2026. Corte de esta revisión 22/10/2026.</x:v>
      </x:c>
      <x:c r="D7" s="7" t="str">
        <x:v>No atribuir cambios actuales al periodo original. Reprogramar solo por decisión registrada.</x:v>
      </x:c>
      <x:c r="E7" s="8"/>
    </x:row>
    <x:row r="8" ht="42" customHeight="1">
      <x:c r="A8" s="7" t="str">
        <x:v>PO y aprobación</x:v>
      </x:c>
      <x:c r="B8" s="7" t="str">
        <x:v>Charter 1, 13 y control de versiones</x:v>
      </x:c>
      <x:c r="C8" s="7" t="str">
        <x:v>Representante del cliente sin confirmar y versión 1.1 pendiente de validación.</x:v>
      </x:c>
      <x:c r="D8" s="7" t="str">
        <x:v>Obtener designación y conformidad. El equipo académico no sustituye al PO sin delegación.</x:v>
      </x:c>
      <x:c r="E8" s="8"/>
    </x:row>
    <x:row r="9" ht="42" customHeight="1">
      <x:c r="A9" s="7" t="str">
        <x:v>Línea base</x:v>
      </x:c>
      <x:c r="B9" s="7" t="str">
        <x:v>Charter 7.1</x:v>
      </x:c>
      <x:c r="C9" s="7" t="str">
        <x:v>Medición prevista sin acta ni resultados aportados.</x:v>
      </x:c>
      <x:c r="D9" s="7" t="str">
        <x:v>Mantener indicadores como metas. No afirmar reducción de tiempos ni duplicados.</x:v>
      </x:c>
      <x:c r="E9" s="8"/>
    </x:row>
    <x:row r="10" ht="42" customHeight="1">
      <x:c r="A10" s="7" t="str">
        <x:v>Alcance ampliado</x:v>
      </x:c>
      <x:c r="B10" s="7" t="str">
        <x:v>README y docs/MULTICLINICA.md</x:v>
      </x:c>
      <x:c r="C10" s="7" t="str">
        <x:v>Repositorio incluye multiclínica, FINANZAS y módulos de sprints posteriores.</x:v>
      </x:c>
      <x:c r="D10" s="7" t="str">
        <x:v>Registrar diferencias mediante control de cambios. No contabilizarlas como nuevo Sprint 1.</x:v>
      </x:c>
      <x:c r="E10" s="8"/>
    </x:row>
    <x:row r="11" ht="42" customHeight="1">
      <x:c r="A11" s="7" t="str">
        <x:v>Permisos de pacientes</x:v>
      </x:c>
      <x:c r="B11" s="7" t="str">
        <x:v>MATRIZ-DE-PERMISOS.md y PatientController.java</x:v>
      </x:c>
      <x:c r="C11" s="7" t="str">
        <x:v>Tabla indica Finanzas sin acceso a Pacientes; API permite search y get a FINANZAS.</x:v>
      </x:c>
      <x:c r="D11" s="7" t="str">
        <x:v>Aclarar si consulta financiera limitada es excepción aprobada o ajustar contrato y pruebas. No cambiar permisos sin decidir la regla.</x:v>
      </x:c>
      <x:c r="E11" s="8"/>
    </x:row>
    <x:row r="12" ht="42" customHeight="1">
      <x:c r="A12" s="7" t="str">
        <x:v>Pruebas y aceptación</x:v>
      </x:c>
      <x:c r="B12" s="7" t="str">
        <x:v>SPRINT-1.md y GitHub Actions</x:v>
      </x:c>
      <x:c r="C12" s="7" t="str">
        <x:v>CI exitoso y pruebas existentes no acreditan UAT ni reuniones.</x:v>
      </x:c>
      <x:c r="D12" s="7" t="str">
        <x:v>Separar inspección de código, ejecución automatizada, ensayo integrado y conformidad.</x:v>
      </x:c>
      <x:c r="E12" s="8"/>
    </x:row>
    <x:row r="13" ht="42" customHeight="1">
      <x:c r="A13" s="7" t="str">
        <x:v>Publicación</x:v>
      </x:c>
      <x:c r="B13" s="7" t="str">
        <x:v>pages.yml y deployment-config.js</x:v>
      </x:c>
      <x:c r="C13" s="7" t="str">
        <x:v>Pages sirve frontend y configuración pública sin backend HTTPS.</x:v>
      </x:c>
      <x:c r="D13" s="7" t="str">
        <x:v>La publicación estática no acredita operación de usuarios, pacientes u OTP.</x:v>
      </x:c>
      <x:c r="E13" s="8"/>
    </x:row>
    <x:row r="14" ht="42" customHeight="1">
      <x:c r="A14" s="7" t="str">
        <x:v>Gobernanza del Charter</x:v>
      </x:c>
      <x:c r="B14" s="7" t="str">
        <x:v>Charter 19 y control de versiones</x:v>
      </x:c>
      <x:c r="C14" s="7" t="str">
        <x:v>Emisión académica no equivale a aceptación del cliente.</x:v>
      </x:c>
      <x:c r="D14" s="7" t="str">
        <x:v>Conservar versión original y documentar adenda sin firma inventada.</x:v>
      </x:c>
      <x:c r="E14" s="8"/>
    </x:row>
    <x:row r="17">
      <x:c r="A17" t="str">
        <x:v>Fuentes consultadas el 22/10/2026</x:v>
      </x:c>
    </x:row>
    <x:row r="18">
      <x:c r="A18" t="str">
        <x:v>Charter aportado: PROJECT_CHARTER_CLINICA_CARDENAS_PORTADA_UPEU.docx, versión 1.1, 17/09/2026, secciones 13.1, 13.2 y 14.</x:v>
      </x:c>
    </x:row>
    <x:row r="19">
      <x:c r="A19" t="str">
        <x:v>https://github.com/DJuanParedes/clinica-cardenas/tree/235502c738ca3e0256710a901fc7e4b5a02326cb</x:v>
      </x:c>
    </x:row>
    <x:row r="20">
      <x:c r="A20" t="str">
        <x:v>https://github.com/DJuanParedes/clinica-cardenas/actions/runs/39872400142</x:v>
      </x:c>
    </x:row>
    <x:row r="21">
      <x:c r="A21" t="str">
        <x:v>https://github.com/DJuanParedes/clinica-cardenas/actions/runs/39872400201</x:v>
      </x:c>
    </x:row>
    <x:row r="22">
      <x:c r="A22" t="str">
        <x:v>https://djuanparedes.github.io/clinica-cardenas/deployment-config.js</x:v>
      </x:c>
    </x:row>
    <x:row r="23">
      <x:c r="A23" t="str">
        <x:v>https://scrumguides.org/docs/scrumguide/v2020/2020-Scrum-Guide-Spanish-Latin-South-American.pdf</x:v>
      </x:c>
    </x:row>
  </x:sheetData>
  <x:pageMargins left="0.7" right="0.7" top="0.75" bottom="0.75" header="0.3" footer="0.3"/>
  <x:tableParts count="1">
    <x:tablePart xmlns:r="http://schemas.openxmlformats.org/officeDocument/2006/relationships" r:id="R98abbd55cd95429c"/>
  </x:tableParts>
</x:worksheet>
</file>